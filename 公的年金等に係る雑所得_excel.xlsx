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克彦\30_個人年金\"/>
    </mc:Choice>
  </mc:AlternateContent>
  <xr:revisionPtr revIDLastSave="0" documentId="13_ncr:1_{E9DDB765-E834-418A-83F1-724D19DEA157}" xr6:coauthVersionLast="47" xr6:coauthVersionMax="47" xr10:uidLastSave="{00000000-0000-0000-0000-000000000000}"/>
  <bookViews>
    <workbookView xWindow="-120" yWindow="-120" windowWidth="25440" windowHeight="15270" xr2:uid="{67CE2073-415D-4BC5-85F0-AAA223242EC9}"/>
  </bookViews>
  <sheets>
    <sheet name="公的年金等に係る雑所得" sheetId="1" r:id="rId1"/>
  </sheets>
  <definedNames>
    <definedName name="_xlnm.Print_Area" localSheetId="0">公的年金等に係る雑所得!$A$1:$E$54</definedName>
    <definedName name="table65歳以上">公的年金等に係る雑所得!$B$18:$C$23</definedName>
    <definedName name="table65歳未満">公的年金等に係る雑所得!$B$12:$C$17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</calcChain>
</file>

<file path=xl/sharedStrings.xml><?xml version="1.0" encoding="utf-8"?>
<sst xmlns="http://schemas.openxmlformats.org/spreadsheetml/2006/main" count="74" uniqueCount="52">
  <si>
    <t>判定区分コード</t>
  </si>
  <si>
    <t>公的年金等に係る雑所得</t>
  </si>
  <si>
    <t>使い方</t>
  </si>
  <si>
    <t>B3セルに年間の公的年金等収入額を入力してください。B5に雑所得が自動計算されます。</t>
  </si>
  <si>
    <t>VLOOKUP判定表（近似一致）</t>
  </si>
  <si>
    <t>下限金額</t>
  </si>
  <si>
    <t>区分コード</t>
  </si>
  <si>
    <t>計算式・判定</t>
  </si>
  <si>
    <t>備考</t>
  </si>
  <si>
    <t>110万円以下：0円</t>
  </si>
  <si>
    <t>収入≦1,100,000</t>
  </si>
  <si>
    <t>収入金額－110万円</t>
  </si>
  <si>
    <t>収入金額×0.75－27万5千円</t>
  </si>
  <si>
    <t>収入金額×0.85－68万5千円</t>
  </si>
  <si>
    <t>収入金額×0.95－145万5千円</t>
  </si>
  <si>
    <t>収入金額－195万5千円</t>
  </si>
  <si>
    <t>計算式</t>
  </si>
  <si>
    <t>B4ではVLOOKUPの近似一致（TRUE）を使用して、収入金額に対応する区分コードを取得しています。</t>
  </si>
  <si>
    <t>B5では区分の境界値に基づいて、国税庁の速算表の計算式を適用しています。</t>
  </si>
  <si>
    <t>■高齢者と税（年金と税）</t>
    <phoneticPr fontId="2"/>
  </si>
  <si>
    <t>https://www.nta.go.jp/publication/pamph/koho/kurashi/html/03_1.htm</t>
  </si>
  <si>
    <t>年齢指定</t>
    <rPh sb="0" eb="2">
      <t>ネンレイ</t>
    </rPh>
    <rPh sb="2" eb="4">
      <t>シテイ</t>
    </rPh>
    <phoneticPr fontId="2"/>
  </si>
  <si>
    <t>60万円以下：0円</t>
    <phoneticPr fontId="2"/>
  </si>
  <si>
    <t>収入≦600,000</t>
    <phoneticPr fontId="2"/>
  </si>
  <si>
    <t>収入金額－60万円</t>
    <phoneticPr fontId="2"/>
  </si>
  <si>
    <t>公的年金等に係る雑所得 計算シート</t>
    <phoneticPr fontId="2"/>
  </si>
  <si>
    <t>65歳未満の方</t>
    <rPh sb="2" eb="3">
      <t>サイ</t>
    </rPh>
    <rPh sb="3" eb="5">
      <t>ミマン</t>
    </rPh>
    <rPh sb="6" eb="7">
      <t>カタ</t>
    </rPh>
    <phoneticPr fontId="2"/>
  </si>
  <si>
    <t>65歳以上の方</t>
    <rPh sb="2" eb="3">
      <t>サイ</t>
    </rPh>
    <rPh sb="3" eb="5">
      <t>イジョウ</t>
    </rPh>
    <rPh sb="6" eb="7">
      <t>カタ</t>
    </rPh>
    <phoneticPr fontId="2"/>
  </si>
  <si>
    <t>公的年金等の年間収入金額</t>
    <phoneticPr fontId="2"/>
  </si>
  <si>
    <t>注意：公的年金等に係る雑所得以外の所得金額が1,000万円以下である場合の表です。</t>
    <phoneticPr fontId="2"/>
  </si>
  <si>
    <t>65歳以上</t>
  </si>
  <si>
    <t>◇公的年金等に係る雑所得の速算表</t>
  </si>
  <si>
    <t>公的年金等の収入金額</t>
  </si>
  <si>
    <t>公的年金等に係る雑所得の金額</t>
  </si>
  <si>
    <t>65歳未満の方</t>
  </si>
  <si>
    <t>65歳以上の方</t>
    <phoneticPr fontId="2"/>
  </si>
  <si>
    <t>60万円以下</t>
  </si>
  <si>
    <t>０円</t>
  </si>
  <si>
    <t>60万円超130万円未満</t>
  </si>
  <si>
    <t>収入金額ー60万円</t>
  </si>
  <si>
    <t>130万円以上410万円未満</t>
  </si>
  <si>
    <t>収入金額×0.75 ー27万5千円</t>
  </si>
  <si>
    <t>410万円以上770万円未満</t>
  </si>
  <si>
    <t>収入金額×0.85 ー68万5千円</t>
  </si>
  <si>
    <t>770万円以上1,000万円未満</t>
  </si>
  <si>
    <t>収入金額×0.95 ー145万5千円</t>
  </si>
  <si>
    <t>1,000万円以上</t>
  </si>
  <si>
    <t>収入金額ー195万5千円</t>
  </si>
  <si>
    <t>110万円以下</t>
  </si>
  <si>
    <t>110万円超330万円未満</t>
  </si>
  <si>
    <t>収入金額ー110万円</t>
  </si>
  <si>
    <t>330万円以上410万円未満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</si>
</sst>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円&quot;"/>
  </numFmts>
  <fonts count="7" x14ac:knownFonts="1">
    <font>
      <sz val="11"/>
      <color theme="1"/>
      <name val="游ゴシック"/>
      <family val="2"/>
      <charset val="128"/>
      <scheme val="minor"/>
    </font>
    <font>
      <b/>
      <sz val="14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sz val="11"/>
      <color rgb="FF0000FF"/>
      <name val="ＭＳ Ｐゴシック"/>
      <family val="3"/>
      <charset val="128"/>
    </font>
    <font>
      <i/>
      <sz val="11"/>
      <color rgb="FF666666"/>
      <name val="ＭＳ Ｐゴシック"/>
      <family val="3"/>
      <charset val="128"/>
    </font>
    <font>
      <sz val="12.1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</fills>
  <borders count="17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B7B7B7"/>
      </right>
      <top style="thin">
        <color indexed="64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indexed="64"/>
      </top>
      <bottom style="thin">
        <color rgb="FFB7B7B7"/>
      </bottom>
      <diagonal/>
    </border>
    <border>
      <left style="thin">
        <color rgb="FFB7B7B7"/>
      </left>
      <right style="thin">
        <color indexed="64"/>
      </right>
      <top style="thin">
        <color indexed="64"/>
      </top>
      <bottom style="thin">
        <color rgb="FFB7B7B7"/>
      </bottom>
      <diagonal/>
    </border>
    <border>
      <left style="thin">
        <color indexed="64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indexed="64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rgb="FFB7B7B7"/>
      </right>
      <top style="thin">
        <color rgb="FFB7B7B7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indexed="64"/>
      </bottom>
      <diagonal/>
    </border>
    <border>
      <left style="thin">
        <color rgb="FFB7B7B7"/>
      </left>
      <right style="thin">
        <color indexed="64"/>
      </right>
      <top style="thin">
        <color rgb="FFB7B7B7"/>
      </top>
      <bottom style="thin">
        <color indexed="64"/>
      </bottom>
      <diagonal/>
    </border>
    <border>
      <left/>
      <right style="thin">
        <color rgb="FFB7B7B7"/>
      </right>
      <top style="thin">
        <color indexed="64"/>
      </top>
      <bottom/>
      <diagonal/>
    </border>
    <border>
      <left style="thin">
        <color rgb="FFB7B7B7"/>
      </left>
      <right style="thin">
        <color rgb="FFB7B7B7"/>
      </right>
      <top style="thin">
        <color indexed="64"/>
      </top>
      <bottom/>
      <diagonal/>
    </border>
    <border>
      <left style="thin">
        <color rgb="FFB7B7B7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 applyProtection="1"/>
    <xf numFmtId="0" fontId="0" fillId="0" borderId="0" xfId="0" applyAlignment="1" applyProtection="1"/>
    <xf numFmtId="0" fontId="0" fillId="0" borderId="0" xfId="0" applyAlignment="1" applyProtection="1"/>
    <xf numFmtId="0" fontId="3" fillId="0" borderId="0" xfId="0" applyFont="1" applyAlignment="1" applyProtection="1"/>
    <xf numFmtId="176" fontId="4" fillId="0" borderId="0" xfId="0" applyNumberFormat="1" applyFont="1" applyAlignment="1" applyProtection="1"/>
    <xf numFmtId="176" fontId="0" fillId="0" borderId="0" xfId="0" applyNumberFormat="1" applyAlignment="1" applyProtection="1"/>
    <xf numFmtId="0" fontId="3" fillId="0" borderId="2" xfId="0" applyFont="1" applyBorder="1" applyAlignment="1" applyProtection="1">
      <alignment vertical="center" wrapText="1"/>
    </xf>
    <xf numFmtId="0" fontId="3" fillId="3" borderId="14" xfId="0" applyFont="1" applyFill="1" applyBorder="1" applyAlignment="1" applyProtection="1">
      <alignment vertical="center" wrapText="1"/>
    </xf>
    <xf numFmtId="0" fontId="3" fillId="3" borderId="15" xfId="0" applyFont="1" applyFill="1" applyBorder="1" applyAlignment="1" applyProtection="1">
      <alignment vertical="center" wrapText="1"/>
    </xf>
    <xf numFmtId="0" fontId="3" fillId="3" borderId="16" xfId="0" applyFont="1" applyFill="1" applyBorder="1" applyAlignment="1" applyProtection="1">
      <alignment vertical="center" wrapText="1"/>
    </xf>
    <xf numFmtId="0" fontId="0" fillId="0" borderId="3" xfId="0" applyBorder="1" applyAlignment="1" applyProtection="1">
      <alignment horizontal="center" vertical="center"/>
    </xf>
    <xf numFmtId="176" fontId="0" fillId="0" borderId="6" xfId="0" applyNumberFormat="1" applyBorder="1" applyAlignment="1" applyProtection="1">
      <alignment vertical="center" wrapText="1"/>
    </xf>
    <xf numFmtId="0" fontId="0" fillId="0" borderId="7" xfId="0" applyBorder="1" applyAlignment="1" applyProtection="1">
      <alignment vertical="center" wrapText="1"/>
    </xf>
    <xf numFmtId="0" fontId="0" fillId="0" borderId="8" xfId="0" applyBorder="1" applyAlignment="1" applyProtection="1">
      <alignment vertical="center" wrapText="1"/>
    </xf>
    <xf numFmtId="0" fontId="0" fillId="0" borderId="4" xfId="0" applyBorder="1" applyAlignment="1" applyProtection="1">
      <alignment horizontal="center" vertical="center"/>
    </xf>
    <xf numFmtId="176" fontId="0" fillId="0" borderId="9" xfId="0" applyNumberFormat="1" applyBorder="1" applyAlignment="1" applyProtection="1">
      <alignment vertical="center" wrapText="1"/>
    </xf>
    <xf numFmtId="0" fontId="0" fillId="0" borderId="1" xfId="0" applyBorder="1" applyAlignment="1" applyProtection="1">
      <alignment vertical="center" wrapText="1"/>
    </xf>
    <xf numFmtId="0" fontId="0" fillId="0" borderId="10" xfId="0" applyBorder="1" applyAlignment="1" applyProtection="1">
      <alignment vertical="center" wrapText="1"/>
    </xf>
    <xf numFmtId="0" fontId="0" fillId="0" borderId="5" xfId="0" applyBorder="1" applyAlignment="1" applyProtection="1">
      <alignment horizontal="center" vertical="center"/>
    </xf>
    <xf numFmtId="176" fontId="0" fillId="0" borderId="11" xfId="0" applyNumberFormat="1" applyBorder="1" applyAlignment="1" applyProtection="1">
      <alignment vertical="center" wrapText="1"/>
    </xf>
    <xf numFmtId="0" fontId="0" fillId="0" borderId="12" xfId="0" applyBorder="1" applyAlignment="1" applyProtection="1">
      <alignment vertical="center" wrapText="1"/>
    </xf>
    <xf numFmtId="0" fontId="0" fillId="0" borderId="13" xfId="0" applyBorder="1" applyAlignment="1" applyProtection="1">
      <alignment vertical="center" wrapText="1"/>
    </xf>
    <xf numFmtId="0" fontId="5" fillId="0" borderId="0" xfId="0" applyFont="1" applyAlignment="1" applyProtection="1"/>
    <xf numFmtId="0" fontId="0" fillId="0" borderId="0" xfId="0" applyProtection="1">
      <alignment vertical="center"/>
    </xf>
    <xf numFmtId="176" fontId="3" fillId="2" borderId="0" xfId="0" applyNumberFormat="1" applyFont="1" applyFill="1" applyAlignment="1" applyProtection="1">
      <protection locked="0"/>
    </xf>
    <xf numFmtId="0" fontId="0" fillId="4" borderId="0" xfId="0" applyFill="1" applyAlignment="1" applyProtection="1"/>
    <xf numFmtId="0" fontId="0" fillId="4" borderId="2" xfId="0" applyFill="1" applyBorder="1" applyAlignment="1" applyProtection="1"/>
    <xf numFmtId="0" fontId="0" fillId="5" borderId="2" xfId="0" applyFill="1" applyBorder="1" applyAlignment="1" applyProtection="1"/>
    <xf numFmtId="0" fontId="0" fillId="5" borderId="3" xfId="0" applyFill="1" applyBorder="1" applyAlignment="1" applyProtection="1">
      <alignment horizontal="left" vertical="center"/>
    </xf>
    <xf numFmtId="0" fontId="0" fillId="5" borderId="4" xfId="0" applyFill="1" applyBorder="1" applyAlignment="1" applyProtection="1">
      <alignment horizontal="left" vertical="center"/>
    </xf>
    <xf numFmtId="0" fontId="0" fillId="5" borderId="5" xfId="0" applyFill="1" applyBorder="1" applyAlignment="1" applyProtection="1">
      <alignment horizontal="left" vertical="center"/>
    </xf>
    <xf numFmtId="0" fontId="6" fillId="4" borderId="0" xfId="0" applyFont="1" applyFill="1" applyBorder="1" applyAlignment="1">
      <alignment horizontal="left" vertical="center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144517</xdr:colOff>
          <xdr:row>33</xdr:row>
          <xdr:rowOff>52552</xdr:rowOff>
        </xdr:from>
        <xdr:to>
          <xdr:col>3</xdr:col>
          <xdr:colOff>277867</xdr:colOff>
          <xdr:row>48</xdr:row>
          <xdr:rowOff>62077</xdr:rowOff>
        </xdr:to>
        <xdr:pic>
          <xdr:nvPicPr>
            <xdr:cNvPr id="4" name="図 3">
              <a:extLst>
                <a:ext uri="{FF2B5EF4-FFF2-40B4-BE49-F238E27FC236}">
                  <a16:creationId xmlns:a16="http://schemas.microsoft.com/office/drawing/2014/main" id="{7BEF8C44-0C11-3E23-3114-14CD2D585DF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G$30:$I$44" spid="_x0000_s102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44517" y="7876190"/>
              <a:ext cx="5093247" cy="355676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238E-A4BE-43A5-9816-B5AF6CB4121F}">
  <sheetPr>
    <pageSetUpPr fitToPage="1"/>
  </sheetPr>
  <dimension ref="A1:O44"/>
  <sheetViews>
    <sheetView tabSelected="1" view="pageBreakPreview" zoomScaleNormal="100" zoomScaleSheetLayoutView="100" workbookViewId="0">
      <selection activeCell="B3" sqref="B3"/>
    </sheetView>
  </sheetViews>
  <sheetFormatPr defaultRowHeight="18.75" x14ac:dyDescent="0.4"/>
  <cols>
    <col min="1" max="1" width="32" style="3" customWidth="1"/>
    <col min="2" max="2" width="22" style="3" customWidth="1"/>
    <col min="3" max="3" width="11.125" style="3" customWidth="1"/>
    <col min="4" max="4" width="27.875" style="3" customWidth="1"/>
    <col min="5" max="5" width="26.5" style="3" customWidth="1"/>
    <col min="6" max="6" width="9" style="3"/>
    <col min="7" max="7" width="15.75" style="26" customWidth="1"/>
    <col min="8" max="8" width="21.375" style="26" customWidth="1"/>
    <col min="9" max="9" width="29.625" style="26" bestFit="1" customWidth="1"/>
    <col min="10" max="15" width="9" style="26"/>
    <col min="16" max="16384" width="9" style="3"/>
  </cols>
  <sheetData>
    <row r="1" spans="1:5" ht="20.25" x14ac:dyDescent="0.4">
      <c r="A1" s="1" t="s">
        <v>25</v>
      </c>
      <c r="B1" s="2"/>
      <c r="C1" s="2"/>
      <c r="D1" s="2"/>
    </row>
    <row r="2" spans="1:5" x14ac:dyDescent="0.4">
      <c r="A2" s="4" t="s">
        <v>21</v>
      </c>
      <c r="B2" s="25" t="s">
        <v>30</v>
      </c>
    </row>
    <row r="3" spans="1:5" x14ac:dyDescent="0.4">
      <c r="A3" s="4" t="s">
        <v>28</v>
      </c>
      <c r="B3" s="25">
        <v>3300000</v>
      </c>
    </row>
    <row r="4" spans="1:5" x14ac:dyDescent="0.4">
      <c r="A4" s="4" t="s">
        <v>0</v>
      </c>
      <c r="B4" s="3">
        <f>IF(B2="65歳以上",VLOOKUP(B3,table65歳以上,2,TRUE),VLOOKUP(B3,table65歳未満,2,TRUE))</f>
        <v>3</v>
      </c>
    </row>
    <row r="5" spans="1:5" x14ac:dyDescent="0.4">
      <c r="A5" s="4" t="s">
        <v>1</v>
      </c>
      <c r="B5" s="5">
        <f>ROUNDDOWN(IF(OR($B$4=1,$B$4=11),0,IF($B$4=2,$B$3-600000,IF($B$4=12,$B$3-1100000,IF($B$4=3,$B$3*0.75-275000,IF($B$4=4,$B$3*0.85-685000,IF($B$4=5,$B$3*0.95-1455000,B3-1955000)))))),0)</f>
        <v>2200000</v>
      </c>
      <c r="C5" s="6"/>
    </row>
    <row r="7" spans="1:5" x14ac:dyDescent="0.4">
      <c r="A7" s="4" t="s">
        <v>2</v>
      </c>
    </row>
    <row r="8" spans="1:5" x14ac:dyDescent="0.4">
      <c r="A8" s="2" t="s">
        <v>3</v>
      </c>
      <c r="B8" s="2"/>
      <c r="C8" s="2"/>
      <c r="D8" s="2"/>
    </row>
    <row r="10" spans="1:5" x14ac:dyDescent="0.4">
      <c r="B10" s="4" t="s">
        <v>4</v>
      </c>
    </row>
    <row r="11" spans="1:5" x14ac:dyDescent="0.4">
      <c r="A11" s="7"/>
      <c r="B11" s="8" t="s">
        <v>5</v>
      </c>
      <c r="C11" s="9" t="s">
        <v>6</v>
      </c>
      <c r="D11" s="9" t="s">
        <v>7</v>
      </c>
      <c r="E11" s="10" t="s">
        <v>8</v>
      </c>
    </row>
    <row r="12" spans="1:5" x14ac:dyDescent="0.4">
      <c r="A12" s="11" t="s">
        <v>26</v>
      </c>
      <c r="B12" s="12">
        <v>0</v>
      </c>
      <c r="C12" s="13">
        <v>1</v>
      </c>
      <c r="D12" s="13" t="s">
        <v>22</v>
      </c>
      <c r="E12" s="14" t="s">
        <v>23</v>
      </c>
    </row>
    <row r="13" spans="1:5" x14ac:dyDescent="0.4">
      <c r="A13" s="15"/>
      <c r="B13" s="16">
        <v>600001</v>
      </c>
      <c r="C13" s="17">
        <v>2</v>
      </c>
      <c r="D13" s="17" t="s">
        <v>24</v>
      </c>
      <c r="E13" s="18" t="s">
        <v>38</v>
      </c>
    </row>
    <row r="14" spans="1:5" x14ac:dyDescent="0.4">
      <c r="A14" s="15"/>
      <c r="B14" s="16">
        <v>1300000</v>
      </c>
      <c r="C14" s="17">
        <v>3</v>
      </c>
      <c r="D14" s="17" t="s">
        <v>12</v>
      </c>
      <c r="E14" s="18" t="s">
        <v>40</v>
      </c>
    </row>
    <row r="15" spans="1:5" x14ac:dyDescent="0.4">
      <c r="A15" s="15"/>
      <c r="B15" s="16">
        <v>4100000</v>
      </c>
      <c r="C15" s="17">
        <v>4</v>
      </c>
      <c r="D15" s="17" t="s">
        <v>13</v>
      </c>
      <c r="E15" s="18" t="s">
        <v>42</v>
      </c>
    </row>
    <row r="16" spans="1:5" x14ac:dyDescent="0.4">
      <c r="A16" s="15"/>
      <c r="B16" s="16">
        <v>7700000</v>
      </c>
      <c r="C16" s="17">
        <v>5</v>
      </c>
      <c r="D16" s="17" t="s">
        <v>14</v>
      </c>
      <c r="E16" s="18" t="s">
        <v>44</v>
      </c>
    </row>
    <row r="17" spans="1:9" x14ac:dyDescent="0.4">
      <c r="A17" s="19"/>
      <c r="B17" s="20">
        <v>10000000</v>
      </c>
      <c r="C17" s="21">
        <v>6</v>
      </c>
      <c r="D17" s="21" t="s">
        <v>15</v>
      </c>
      <c r="E17" s="22" t="s">
        <v>46</v>
      </c>
    </row>
    <row r="18" spans="1:9" x14ac:dyDescent="0.4">
      <c r="A18" s="11" t="s">
        <v>27</v>
      </c>
      <c r="B18" s="12">
        <v>0</v>
      </c>
      <c r="C18" s="13">
        <v>11</v>
      </c>
      <c r="D18" s="13" t="s">
        <v>9</v>
      </c>
      <c r="E18" s="14" t="s">
        <v>10</v>
      </c>
    </row>
    <row r="19" spans="1:9" x14ac:dyDescent="0.4">
      <c r="A19" s="15"/>
      <c r="B19" s="16">
        <v>1100001</v>
      </c>
      <c r="C19" s="17">
        <v>12</v>
      </c>
      <c r="D19" s="17" t="s">
        <v>11</v>
      </c>
      <c r="E19" s="18" t="s">
        <v>49</v>
      </c>
    </row>
    <row r="20" spans="1:9" x14ac:dyDescent="0.4">
      <c r="A20" s="15"/>
      <c r="B20" s="16">
        <v>3300000</v>
      </c>
      <c r="C20" s="17">
        <v>3</v>
      </c>
      <c r="D20" s="17" t="s">
        <v>12</v>
      </c>
      <c r="E20" s="18" t="s">
        <v>51</v>
      </c>
    </row>
    <row r="21" spans="1:9" x14ac:dyDescent="0.4">
      <c r="A21" s="15"/>
      <c r="B21" s="16">
        <v>4100000</v>
      </c>
      <c r="C21" s="17">
        <v>4</v>
      </c>
      <c r="D21" s="17" t="s">
        <v>13</v>
      </c>
      <c r="E21" s="18" t="s">
        <v>42</v>
      </c>
    </row>
    <row r="22" spans="1:9" x14ac:dyDescent="0.4">
      <c r="A22" s="15"/>
      <c r="B22" s="16">
        <v>7700000</v>
      </c>
      <c r="C22" s="17">
        <v>5</v>
      </c>
      <c r="D22" s="17" t="s">
        <v>14</v>
      </c>
      <c r="E22" s="18" t="s">
        <v>44</v>
      </c>
    </row>
    <row r="23" spans="1:9" x14ac:dyDescent="0.4">
      <c r="A23" s="19"/>
      <c r="B23" s="20">
        <v>10000000</v>
      </c>
      <c r="C23" s="21">
        <v>6</v>
      </c>
      <c r="D23" s="21" t="s">
        <v>15</v>
      </c>
      <c r="E23" s="22" t="s">
        <v>46</v>
      </c>
    </row>
    <row r="26" spans="1:9" x14ac:dyDescent="0.4">
      <c r="A26" s="4" t="s">
        <v>16</v>
      </c>
    </row>
    <row r="27" spans="1:9" x14ac:dyDescent="0.4">
      <c r="A27" s="2" t="s">
        <v>17</v>
      </c>
      <c r="B27" s="2"/>
      <c r="C27" s="2"/>
      <c r="D27" s="2"/>
    </row>
    <row r="28" spans="1:9" x14ac:dyDescent="0.4">
      <c r="A28" s="2" t="s">
        <v>18</v>
      </c>
      <c r="B28" s="2"/>
      <c r="C28" s="2"/>
      <c r="D28" s="2"/>
    </row>
    <row r="29" spans="1:9" x14ac:dyDescent="0.4">
      <c r="F29" s="26"/>
    </row>
    <row r="30" spans="1:9" x14ac:dyDescent="0.4">
      <c r="A30" s="23" t="s">
        <v>29</v>
      </c>
      <c r="B30" s="2"/>
      <c r="C30" s="2"/>
      <c r="D30" s="2"/>
      <c r="F30" s="26"/>
      <c r="G30" s="32" t="s">
        <v>31</v>
      </c>
    </row>
    <row r="31" spans="1:9" x14ac:dyDescent="0.4">
      <c r="F31" s="26"/>
    </row>
    <row r="32" spans="1:9" x14ac:dyDescent="0.4">
      <c r="A32" s="24" t="s">
        <v>19</v>
      </c>
      <c r="G32" s="28"/>
      <c r="H32" s="28" t="s">
        <v>32</v>
      </c>
      <c r="I32" s="28" t="s">
        <v>33</v>
      </c>
    </row>
    <row r="33" spans="1:9" x14ac:dyDescent="0.4">
      <c r="A33" s="24" t="s">
        <v>20</v>
      </c>
      <c r="G33" s="29" t="s">
        <v>34</v>
      </c>
      <c r="H33" s="27" t="s">
        <v>36</v>
      </c>
      <c r="I33" s="27" t="s">
        <v>37</v>
      </c>
    </row>
    <row r="34" spans="1:9" x14ac:dyDescent="0.4">
      <c r="G34" s="30"/>
      <c r="H34" s="27" t="s">
        <v>38</v>
      </c>
      <c r="I34" s="27" t="s">
        <v>39</v>
      </c>
    </row>
    <row r="35" spans="1:9" x14ac:dyDescent="0.4">
      <c r="G35" s="30"/>
      <c r="H35" s="27" t="s">
        <v>40</v>
      </c>
      <c r="I35" s="27" t="s">
        <v>41</v>
      </c>
    </row>
    <row r="36" spans="1:9" x14ac:dyDescent="0.4">
      <c r="G36" s="30"/>
      <c r="H36" s="27" t="s">
        <v>42</v>
      </c>
      <c r="I36" s="27" t="s">
        <v>43</v>
      </c>
    </row>
    <row r="37" spans="1:9" x14ac:dyDescent="0.4">
      <c r="G37" s="30"/>
      <c r="H37" s="27" t="s">
        <v>44</v>
      </c>
      <c r="I37" s="27" t="s">
        <v>45</v>
      </c>
    </row>
    <row r="38" spans="1:9" x14ac:dyDescent="0.4">
      <c r="G38" s="31"/>
      <c r="H38" s="27" t="s">
        <v>46</v>
      </c>
      <c r="I38" s="27" t="s">
        <v>47</v>
      </c>
    </row>
    <row r="39" spans="1:9" x14ac:dyDescent="0.4">
      <c r="G39" s="29" t="s">
        <v>35</v>
      </c>
      <c r="H39" s="27" t="s">
        <v>48</v>
      </c>
      <c r="I39" s="27" t="s">
        <v>37</v>
      </c>
    </row>
    <row r="40" spans="1:9" x14ac:dyDescent="0.4">
      <c r="G40" s="30"/>
      <c r="H40" s="27" t="s">
        <v>49</v>
      </c>
      <c r="I40" s="27" t="s">
        <v>50</v>
      </c>
    </row>
    <row r="41" spans="1:9" x14ac:dyDescent="0.4">
      <c r="G41" s="30"/>
      <c r="H41" s="27" t="s">
        <v>51</v>
      </c>
      <c r="I41" s="27" t="s">
        <v>41</v>
      </c>
    </row>
    <row r="42" spans="1:9" x14ac:dyDescent="0.4">
      <c r="G42" s="30"/>
      <c r="H42" s="27" t="s">
        <v>42</v>
      </c>
      <c r="I42" s="27" t="s">
        <v>43</v>
      </c>
    </row>
    <row r="43" spans="1:9" x14ac:dyDescent="0.4">
      <c r="G43" s="30"/>
      <c r="H43" s="27" t="s">
        <v>44</v>
      </c>
      <c r="I43" s="27" t="s">
        <v>45</v>
      </c>
    </row>
    <row r="44" spans="1:9" x14ac:dyDescent="0.4">
      <c r="G44" s="31"/>
      <c r="H44" s="27" t="s">
        <v>46</v>
      </c>
      <c r="I44" s="27" t="s">
        <v>47</v>
      </c>
    </row>
  </sheetData>
  <sheetProtection algorithmName="SHA-512" hashValue="CQoS3uvq7IxPQMLUndP9GXKCp06h1xXbabSUuUt3e5BXRu0JvdpWOSS8CyI8U/lb3QFAw4W6XvfRl20kRylK4A==" saltValue="Ef+V8Sajjp+qdKMrqmhS2g==" spinCount="100000" sheet="1" objects="1" scenarios="1"/>
  <mergeCells count="9">
    <mergeCell ref="G39:G44"/>
    <mergeCell ref="G33:G38"/>
    <mergeCell ref="A28:D28"/>
    <mergeCell ref="A30:D30"/>
    <mergeCell ref="A12:A17"/>
    <mergeCell ref="A18:A23"/>
    <mergeCell ref="A1:D1"/>
    <mergeCell ref="A8:D8"/>
    <mergeCell ref="A27:D27"/>
  </mergeCells>
  <phoneticPr fontId="2"/>
  <dataValidations disablePrompts="1" count="1">
    <dataValidation type="list" allowBlank="1" showInputMessage="1" showErrorMessage="1" sqref="B2" xr:uid="{A89A5BEC-3332-4E1E-ABA9-E88657416BAC}">
      <formula1>"65歳未満,65歳以上"</formula1>
    </dataValidation>
  </dataValidations>
  <pageMargins left="0.7" right="0.7" top="0.75" bottom="0.75" header="0.3" footer="0.3"/>
  <pageSetup paperSize="9" scale="67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3</vt:i4>
      </vt:variant>
    </vt:vector>
  </HeadingPairs>
  <TitlesOfParts>
    <vt:vector size="4" baseType="lpstr">
      <vt:lpstr>公的年金等に係る雑所得</vt:lpstr>
      <vt:lpstr>公的年金等に係る雑所得!Print_Area</vt:lpstr>
      <vt:lpstr>table65歳以上</vt:lpstr>
      <vt:lpstr>table65歳未満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克彦 福田</dc:creator>
  <cp:lastModifiedBy>克彦 福田</cp:lastModifiedBy>
  <dcterms:created xsi:type="dcterms:W3CDTF">2026-09-23T03:08:52Z</dcterms:created>
  <dcterms:modified xsi:type="dcterms:W3CDTF">2026-09-23T13:15:20Z</dcterms:modified>
</cp:coreProperties>
</file>
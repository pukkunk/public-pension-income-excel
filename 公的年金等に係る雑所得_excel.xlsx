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pukkun\Downloads\"/>
    </mc:Choice>
  </mc:AlternateContent>
  <xr:revisionPtr revIDLastSave="0" documentId="13_ncr:1_{B47AB1C4-6E53-4397-9BBF-D7AF9EC8AFB1}" xr6:coauthVersionLast="47" xr6:coauthVersionMax="47" xr10:uidLastSave="{00000000-0000-0000-0000-000000000000}"/>
  <bookViews>
    <workbookView xWindow="-120" yWindow="-120" windowWidth="25440" windowHeight="15270" xr2:uid="{67CE2073-415D-4BC5-85F0-AAA223242EC9}"/>
  </bookViews>
  <sheets>
    <sheet name="公的年金等に係る雑所得" sheetId="1" r:id="rId1"/>
    <sheet name="公的年金等以外の年金に係る雑所得" sheetId="2" r:id="rId2"/>
  </sheets>
  <definedNames>
    <definedName name="_xlnm.Print_Area" localSheetId="0">公的年金等に係る雑所得!$A$1:$E$58</definedName>
    <definedName name="table65歳以上">公的年金等に係る雑所得!$B$22:$C$27</definedName>
    <definedName name="table65歳未満">公的年金等に係る雑所得!$B$16:$C$21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2" l="1"/>
  <c r="B23" i="2"/>
  <c r="C16" i="2"/>
  <c r="F23" i="2" s="1"/>
  <c r="B19" i="2"/>
  <c r="F18" i="2" s="1"/>
  <c r="B8" i="1"/>
  <c r="B9" i="1" s="1"/>
  <c r="B24" i="2" l="1"/>
  <c r="D26" i="2" s="1"/>
  <c r="B27" i="2" s="1"/>
  <c r="D23" i="2"/>
</calcChain>
</file>

<file path=xl/sharedStrings.xml><?xml version="1.0" encoding="utf-8"?>
<sst xmlns="http://schemas.openxmlformats.org/spreadsheetml/2006/main" count="117" uniqueCount="84">
  <si>
    <t>判定区分コード</t>
  </si>
  <si>
    <t>公的年金等に係る雑所得</t>
  </si>
  <si>
    <t>使い方</t>
  </si>
  <si>
    <t>B3セルに年間の公的年金等収入額を入力してください。B5に雑所得が自動計算されます。</t>
  </si>
  <si>
    <t>VLOOKUP判定表（近似一致）</t>
  </si>
  <si>
    <t>下限金額</t>
  </si>
  <si>
    <t>区分コード</t>
  </si>
  <si>
    <t>計算式・判定</t>
  </si>
  <si>
    <t>備考</t>
  </si>
  <si>
    <t>110万円以下：0円</t>
  </si>
  <si>
    <t>収入≦1,100,000</t>
  </si>
  <si>
    <t>収入金額－110万円</t>
  </si>
  <si>
    <t>収入金額×0.75－27万5千円</t>
  </si>
  <si>
    <t>収入金額×0.85－68万5千円</t>
  </si>
  <si>
    <t>収入金額×0.95－145万5千円</t>
  </si>
  <si>
    <t>収入金額－195万5千円</t>
  </si>
  <si>
    <t>計算式</t>
  </si>
  <si>
    <t>B4ではVLOOKUPの近似一致（TRUE）を使用して、収入金額に対応する区分コードを取得しています。</t>
  </si>
  <si>
    <t>B5では区分の境界値に基づいて、国税庁の速算表の計算式を適用しています。</t>
  </si>
  <si>
    <t>■高齢者と税（年金と税）</t>
    <phoneticPr fontId="2"/>
  </si>
  <si>
    <t>https://www.nta.go.jp/publication/pamph/koho/kurashi/html/03_1.htm</t>
  </si>
  <si>
    <t>年齢指定</t>
    <rPh sb="0" eb="2">
      <t>ネンレイ</t>
    </rPh>
    <rPh sb="2" eb="4">
      <t>シテイ</t>
    </rPh>
    <phoneticPr fontId="2"/>
  </si>
  <si>
    <t>60万円以下：0円</t>
    <phoneticPr fontId="2"/>
  </si>
  <si>
    <t>収入≦600,000</t>
    <phoneticPr fontId="2"/>
  </si>
  <si>
    <t>収入金額－60万円</t>
    <phoneticPr fontId="2"/>
  </si>
  <si>
    <t>公的年金等に係る雑所得 計算シート</t>
    <phoneticPr fontId="2"/>
  </si>
  <si>
    <t>65歳未満の方</t>
    <rPh sb="2" eb="3">
      <t>サイ</t>
    </rPh>
    <rPh sb="3" eb="5">
      <t>ミマン</t>
    </rPh>
    <rPh sb="6" eb="7">
      <t>カタ</t>
    </rPh>
    <phoneticPr fontId="2"/>
  </si>
  <si>
    <t>65歳以上の方</t>
    <rPh sb="2" eb="3">
      <t>サイ</t>
    </rPh>
    <rPh sb="3" eb="5">
      <t>イジョウ</t>
    </rPh>
    <rPh sb="6" eb="7">
      <t>カタ</t>
    </rPh>
    <phoneticPr fontId="2"/>
  </si>
  <si>
    <t>公的年金等の年間収入金額</t>
    <phoneticPr fontId="2"/>
  </si>
  <si>
    <t>注意：公的年金等に係る雑所得以外の所得金額が1,000万円以下である場合の表です。</t>
    <phoneticPr fontId="2"/>
  </si>
  <si>
    <t>65歳以上</t>
  </si>
  <si>
    <t>◇公的年金等に係る雑所得の速算表</t>
  </si>
  <si>
    <t>公的年金等の収入金額</t>
  </si>
  <si>
    <t>公的年金等に係る雑所得の金額</t>
  </si>
  <si>
    <t>65歳未満の方</t>
  </si>
  <si>
    <t>65歳以上の方</t>
    <phoneticPr fontId="2"/>
  </si>
  <si>
    <t>60万円以下</t>
  </si>
  <si>
    <t>０円</t>
  </si>
  <si>
    <t>60万円超130万円未満</t>
  </si>
  <si>
    <t>収入金額ー60万円</t>
  </si>
  <si>
    <t>130万円以上410万円未満</t>
  </si>
  <si>
    <t>収入金額×0.75 ー27万5千円</t>
  </si>
  <si>
    <t>410万円以上770万円未満</t>
  </si>
  <si>
    <t>収入金額×0.85 ー68万5千円</t>
  </si>
  <si>
    <t>770万円以上1,000万円未満</t>
  </si>
  <si>
    <t>収入金額×0.95 ー145万5千円</t>
  </si>
  <si>
    <t>1,000万円以上</t>
  </si>
  <si>
    <t>収入金額ー195万5千円</t>
  </si>
  <si>
    <t>110万円以下</t>
  </si>
  <si>
    <t>110万円超330万円未満</t>
  </si>
  <si>
    <t>収入金額ー110万円</t>
  </si>
  <si>
    <t>330万円以上410万円未満</t>
  </si>
  <si>
    <t>生命保険契約や生命共済契約に基づく年金、互助年金など</t>
    <phoneticPr fontId="2"/>
  </si>
  <si>
    <t>〈公的年金等以外の年金〉</t>
    <phoneticPr fontId="2"/>
  </si>
  <si>
    <t>〈公的年金等〉</t>
    <phoneticPr fontId="2"/>
  </si>
  <si>
    <t>国民年金、厚生年金、恩給、確定給付企業年金、確定拠出年金、一定の外国年金など</t>
    <phoneticPr fontId="2"/>
  </si>
  <si>
    <t>公的年金等以外の年金に係る雑所得 計算シート</t>
    <phoneticPr fontId="2"/>
  </si>
  <si>
    <t>◇公的年金等以外の年金に係る雑所得の計算方法</t>
    <phoneticPr fontId="2"/>
  </si>
  <si>
    <t>収入金額－必要経費＝雑所得の金額</t>
  </si>
  <si>
    <t>収入金額＝公的年金等以外の年金の収入金額＋剰余金や割戻金</t>
  </si>
  <si>
    <t>必要経費＝公的年金等以外の年金の収入金額×(保険料又は掛金の総額÷年金の支払総額又は支払総額の見込み額)</t>
  </si>
  <si>
    <t>注：住民税を算出する際の年金等に係る雑所得の計算方法も同様になります。</t>
  </si>
  <si>
    <t>詳しくは、お住まいの市区町村の窓口にお尋ねください。</t>
  </si>
  <si>
    <t>保険料又は掛金の総額</t>
    <phoneticPr fontId="2"/>
  </si>
  <si>
    <t>年数</t>
    <rPh sb="0" eb="2">
      <t>ネンスウ</t>
    </rPh>
    <phoneticPr fontId="2"/>
  </si>
  <si>
    <t>支払開始</t>
    <rPh sb="0" eb="2">
      <t>シハラ</t>
    </rPh>
    <rPh sb="2" eb="4">
      <t>カイシ</t>
    </rPh>
    <phoneticPr fontId="2"/>
  </si>
  <si>
    <t>支払終了</t>
    <rPh sb="0" eb="2">
      <t>シハラ</t>
    </rPh>
    <rPh sb="2" eb="4">
      <t>シュウリョウ</t>
    </rPh>
    <phoneticPr fontId="2"/>
  </si>
  <si>
    <t>支払い金額</t>
    <rPh sb="0" eb="2">
      <t>シハラ</t>
    </rPh>
    <rPh sb="3" eb="5">
      <t>キンガク</t>
    </rPh>
    <phoneticPr fontId="2"/>
  </si>
  <si>
    <t>円</t>
    <rPh sb="0" eb="1">
      <t>エン</t>
    </rPh>
    <phoneticPr fontId="2"/>
  </si>
  <si>
    <t>支払い総額</t>
    <rPh sb="0" eb="2">
      <t>シハラ</t>
    </rPh>
    <rPh sb="3" eb="5">
      <t>ソウガク</t>
    </rPh>
    <phoneticPr fontId="2"/>
  </si>
  <si>
    <t>月払</t>
  </si>
  <si>
    <t>公的年金等以外の年金の収入金額</t>
    <phoneticPr fontId="2"/>
  </si>
  <si>
    <t>年金受取(年)</t>
    <rPh sb="0" eb="2">
      <t>ネンキン</t>
    </rPh>
    <rPh sb="2" eb="4">
      <t>ウケト</t>
    </rPh>
    <rPh sb="5" eb="6">
      <t>ネン</t>
    </rPh>
    <phoneticPr fontId="2"/>
  </si>
  <si>
    <t>受取期間</t>
    <rPh sb="0" eb="2">
      <t>ウケト</t>
    </rPh>
    <rPh sb="2" eb="4">
      <t>キカン</t>
    </rPh>
    <phoneticPr fontId="2"/>
  </si>
  <si>
    <t>年</t>
    <rPh sb="0" eb="1">
      <t>ネン</t>
    </rPh>
    <phoneticPr fontId="2"/>
  </si>
  <si>
    <t>公的年金等以外の年金の収入金額×(保険料又は掛金の総額÷年金の支払総額又は支払総額の見込み額)</t>
    <phoneticPr fontId="2"/>
  </si>
  <si>
    <t>×(</t>
    <phoneticPr fontId="2"/>
  </si>
  <si>
    <t>÷</t>
    <phoneticPr fontId="2"/>
  </si>
  <si>
    <t>必要経費=</t>
    <rPh sb="0" eb="2">
      <t>ヒツヨウ</t>
    </rPh>
    <rPh sb="2" eb="4">
      <t>ケイヒ</t>
    </rPh>
    <phoneticPr fontId="2"/>
  </si>
  <si>
    <t>=</t>
    <phoneticPr fontId="2"/>
  </si>
  <si>
    <t>雑所得の金額=</t>
    <phoneticPr fontId="2"/>
  </si>
  <si>
    <t>収入金額－必要経費</t>
    <phoneticPr fontId="2"/>
  </si>
  <si>
    <t>－</t>
    <phoneticPr fontId="2"/>
  </si>
  <si>
    <t>下記塗りつぶしの情報を入力してください</t>
    <rPh sb="0" eb="2">
      <t>カキ</t>
    </rPh>
    <rPh sb="2" eb="3">
      <t>ヌ</t>
    </rPh>
    <rPh sb="8" eb="10">
      <t>ジョウホウ</t>
    </rPh>
    <rPh sb="11" eb="13">
      <t>ニュウリョク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</si>
</sst>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7" formatCode="&quot;¥&quot;#,##0.00;&quot;¥&quot;\-#,##0.00"/>
    <numFmt numFmtId="176" formatCode="#,##0&quot;円&quot;"/>
    <numFmt numFmtId="177" formatCode="yyyy/mm/dd"/>
    <numFmt numFmtId="178" formatCode="#&quot;年&quot;"/>
    <numFmt numFmtId="179" formatCode="#,##0_ "/>
  </numFmts>
  <fonts count="9" x14ac:knownFonts="1">
    <font>
      <sz val="11"/>
      <color theme="1"/>
      <name val="游ゴシック"/>
      <family val="2"/>
      <charset val="128"/>
      <scheme val="minor"/>
    </font>
    <font>
      <b/>
      <sz val="14"/>
      <name val="ＭＳ Ｐゴシック"/>
      <family val="3"/>
      <charset val="128"/>
    </font>
    <font>
      <sz val="6"/>
      <name val="游ゴシック"/>
      <family val="2"/>
      <charset val="128"/>
      <scheme val="minor"/>
    </font>
    <font>
      <b/>
      <sz val="11"/>
      <name val="ＭＳ Ｐゴシック"/>
      <family val="3"/>
      <charset val="128"/>
    </font>
    <font>
      <b/>
      <sz val="11"/>
      <color rgb="FF0000FF"/>
      <name val="ＭＳ Ｐゴシック"/>
      <family val="3"/>
      <charset val="128"/>
    </font>
    <font>
      <i/>
      <sz val="11"/>
      <color rgb="FF666666"/>
      <name val="ＭＳ Ｐゴシック"/>
      <family val="3"/>
      <charset val="128"/>
    </font>
    <font>
      <sz val="12.1"/>
      <color rgb="FF333333"/>
      <name val="Arial"/>
      <family val="2"/>
    </font>
    <font>
      <u/>
      <sz val="11"/>
      <color theme="10"/>
      <name val="游ゴシック"/>
      <family val="2"/>
      <charset val="128"/>
      <scheme val="minor"/>
    </font>
    <font>
      <b/>
      <sz val="11"/>
      <color theme="1"/>
      <name val="游ゴシック"/>
      <family val="3"/>
      <charset val="128"/>
      <scheme val="minor"/>
    </font>
  </fonts>
  <fills count="8">
    <fill>
      <patternFill patternType="none"/>
    </fill>
    <fill>
      <patternFill patternType="gray125"/>
    </fill>
    <fill>
      <patternFill patternType="solid">
        <fgColor rgb="FFFFF2CC"/>
      </patternFill>
    </fill>
    <fill>
      <patternFill patternType="solid">
        <fgColor rgb="FFD9EAF7"/>
      </patternFill>
    </fill>
    <fill>
      <patternFill patternType="solid">
        <fgColor theme="0"/>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2CC"/>
        <bgColor indexed="64"/>
      </patternFill>
    </fill>
  </fills>
  <borders count="17">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rgb="FFB7B7B7"/>
      </right>
      <top style="thin">
        <color indexed="64"/>
      </top>
      <bottom style="thin">
        <color rgb="FFB7B7B7"/>
      </bottom>
      <diagonal/>
    </border>
    <border>
      <left style="thin">
        <color rgb="FFB7B7B7"/>
      </left>
      <right style="thin">
        <color rgb="FFB7B7B7"/>
      </right>
      <top style="thin">
        <color indexed="64"/>
      </top>
      <bottom style="thin">
        <color rgb="FFB7B7B7"/>
      </bottom>
      <diagonal/>
    </border>
    <border>
      <left style="thin">
        <color rgb="FFB7B7B7"/>
      </left>
      <right style="thin">
        <color indexed="64"/>
      </right>
      <top style="thin">
        <color indexed="64"/>
      </top>
      <bottom style="thin">
        <color rgb="FFB7B7B7"/>
      </bottom>
      <diagonal/>
    </border>
    <border>
      <left style="thin">
        <color indexed="64"/>
      </left>
      <right style="thin">
        <color rgb="FFB7B7B7"/>
      </right>
      <top style="thin">
        <color rgb="FFB7B7B7"/>
      </top>
      <bottom style="thin">
        <color rgb="FFB7B7B7"/>
      </bottom>
      <diagonal/>
    </border>
    <border>
      <left style="thin">
        <color rgb="FFB7B7B7"/>
      </left>
      <right style="thin">
        <color indexed="64"/>
      </right>
      <top style="thin">
        <color rgb="FFB7B7B7"/>
      </top>
      <bottom style="thin">
        <color rgb="FFB7B7B7"/>
      </bottom>
      <diagonal/>
    </border>
    <border>
      <left style="thin">
        <color indexed="64"/>
      </left>
      <right style="thin">
        <color rgb="FFB7B7B7"/>
      </right>
      <top style="thin">
        <color rgb="FFB7B7B7"/>
      </top>
      <bottom style="thin">
        <color indexed="64"/>
      </bottom>
      <diagonal/>
    </border>
    <border>
      <left style="thin">
        <color rgb="FFB7B7B7"/>
      </left>
      <right style="thin">
        <color rgb="FFB7B7B7"/>
      </right>
      <top style="thin">
        <color rgb="FFB7B7B7"/>
      </top>
      <bottom style="thin">
        <color indexed="64"/>
      </bottom>
      <diagonal/>
    </border>
    <border>
      <left style="thin">
        <color rgb="FFB7B7B7"/>
      </left>
      <right style="thin">
        <color indexed="64"/>
      </right>
      <top style="thin">
        <color rgb="FFB7B7B7"/>
      </top>
      <bottom style="thin">
        <color indexed="64"/>
      </bottom>
      <diagonal/>
    </border>
    <border>
      <left/>
      <right style="thin">
        <color rgb="FFB7B7B7"/>
      </right>
      <top style="thin">
        <color indexed="64"/>
      </top>
      <bottom/>
      <diagonal/>
    </border>
    <border>
      <left style="thin">
        <color rgb="FFB7B7B7"/>
      </left>
      <right style="thin">
        <color rgb="FFB7B7B7"/>
      </right>
      <top style="thin">
        <color indexed="64"/>
      </top>
      <bottom/>
      <diagonal/>
    </border>
    <border>
      <left style="thin">
        <color rgb="FFB7B7B7"/>
      </left>
      <right style="thin">
        <color indexed="64"/>
      </right>
      <top style="thin">
        <color indexed="64"/>
      </top>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46">
    <xf numFmtId="0" fontId="0" fillId="0" borderId="0" xfId="0">
      <alignment vertical="center"/>
    </xf>
    <xf numFmtId="176" fontId="3" fillId="2" borderId="0" xfId="0" applyNumberFormat="1" applyFont="1" applyFill="1" applyAlignment="1" applyProtection="1">
      <protection locked="0"/>
    </xf>
    <xf numFmtId="0" fontId="0" fillId="0" borderId="0" xfId="0" applyProtection="1">
      <alignment vertical="center"/>
    </xf>
    <xf numFmtId="0" fontId="1" fillId="0" borderId="0" xfId="0" applyFont="1" applyAlignment="1" applyProtection="1"/>
    <xf numFmtId="0" fontId="0" fillId="0" borderId="0" xfId="0" applyAlignment="1" applyProtection="1"/>
    <xf numFmtId="0" fontId="8" fillId="7" borderId="0" xfId="0" applyFont="1" applyFill="1" applyProtection="1">
      <alignment vertical="center"/>
    </xf>
    <xf numFmtId="5" fontId="0" fillId="0" borderId="0" xfId="0" applyNumberFormat="1" applyProtection="1">
      <alignment vertical="center"/>
    </xf>
    <xf numFmtId="7" fontId="0" fillId="0" borderId="0" xfId="0" applyNumberFormat="1" applyProtection="1">
      <alignment vertical="center"/>
    </xf>
    <xf numFmtId="179" fontId="0" fillId="0" borderId="0" xfId="0" applyNumberFormat="1" applyProtection="1">
      <alignment vertical="center"/>
    </xf>
    <xf numFmtId="178" fontId="0" fillId="0" borderId="0" xfId="0" applyNumberFormat="1" applyProtection="1">
      <alignment vertical="center"/>
    </xf>
    <xf numFmtId="0" fontId="0" fillId="0" borderId="0" xfId="0" applyAlignment="1" applyProtection="1">
      <alignment horizontal="right" vertical="center"/>
    </xf>
    <xf numFmtId="0" fontId="0" fillId="6" borderId="0" xfId="0" applyFill="1" applyProtection="1">
      <alignment vertical="center"/>
    </xf>
    <xf numFmtId="5" fontId="0" fillId="6" borderId="0" xfId="0" applyNumberFormat="1" applyFill="1" applyProtection="1">
      <alignment vertical="center"/>
    </xf>
    <xf numFmtId="0" fontId="7" fillId="0" borderId="0" xfId="1" applyProtection="1">
      <alignment vertical="center"/>
    </xf>
    <xf numFmtId="5" fontId="0" fillId="7" borderId="0" xfId="0" applyNumberFormat="1" applyFill="1" applyProtection="1">
      <alignment vertical="center"/>
      <protection locked="0"/>
    </xf>
    <xf numFmtId="0" fontId="0" fillId="7" borderId="0" xfId="0" applyFill="1" applyProtection="1">
      <alignment vertical="center"/>
      <protection locked="0"/>
    </xf>
    <xf numFmtId="177" fontId="0" fillId="7" borderId="0" xfId="0" applyNumberFormat="1" applyFill="1" applyProtection="1">
      <alignment vertical="center"/>
      <protection locked="0"/>
    </xf>
    <xf numFmtId="0" fontId="0" fillId="4" borderId="0" xfId="0" applyFill="1" applyAlignment="1" applyProtection="1"/>
    <xf numFmtId="0" fontId="1" fillId="0" borderId="0" xfId="0" applyFont="1" applyAlignment="1" applyProtection="1"/>
    <xf numFmtId="0" fontId="0" fillId="0" borderId="0" xfId="0" applyAlignment="1" applyProtection="1"/>
    <xf numFmtId="0" fontId="3" fillId="0" borderId="0" xfId="0" applyFont="1" applyAlignment="1" applyProtection="1"/>
    <xf numFmtId="176" fontId="4" fillId="0" borderId="0" xfId="0" applyNumberFormat="1" applyFont="1" applyAlignment="1" applyProtection="1"/>
    <xf numFmtId="176" fontId="0" fillId="0" borderId="0" xfId="0" applyNumberFormat="1" applyAlignment="1" applyProtection="1"/>
    <xf numFmtId="0" fontId="3" fillId="0" borderId="2" xfId="0" applyFont="1" applyBorder="1" applyAlignment="1" applyProtection="1">
      <alignment vertical="center" wrapText="1"/>
    </xf>
    <xf numFmtId="0" fontId="3" fillId="3" borderId="14" xfId="0" applyFont="1" applyFill="1" applyBorder="1" applyAlignment="1" applyProtection="1">
      <alignment vertical="center" wrapText="1"/>
    </xf>
    <xf numFmtId="0" fontId="3" fillId="3" borderId="15" xfId="0" applyFont="1" applyFill="1" applyBorder="1" applyAlignment="1" applyProtection="1">
      <alignment vertical="center" wrapText="1"/>
    </xf>
    <xf numFmtId="0" fontId="3" fillId="3" borderId="16" xfId="0" applyFont="1" applyFill="1" applyBorder="1" applyAlignment="1" applyProtection="1">
      <alignment vertical="center" wrapText="1"/>
    </xf>
    <xf numFmtId="0" fontId="0" fillId="0" borderId="3" xfId="0" applyBorder="1" applyAlignment="1" applyProtection="1">
      <alignment horizontal="center" vertical="center"/>
    </xf>
    <xf numFmtId="176" fontId="0" fillId="0" borderId="6" xfId="0" applyNumberFormat="1" applyBorder="1" applyAlignment="1" applyProtection="1">
      <alignment vertical="center" wrapText="1"/>
    </xf>
    <xf numFmtId="0" fontId="0" fillId="0" borderId="7" xfId="0" applyBorder="1" applyAlignment="1" applyProtection="1">
      <alignment vertical="center" wrapText="1"/>
    </xf>
    <xf numFmtId="0" fontId="0" fillId="0" borderId="8" xfId="0" applyBorder="1" applyAlignment="1" applyProtection="1">
      <alignment vertical="center" wrapText="1"/>
    </xf>
    <xf numFmtId="0" fontId="0" fillId="0" borderId="4" xfId="0" applyBorder="1" applyAlignment="1" applyProtection="1">
      <alignment horizontal="center" vertical="center"/>
    </xf>
    <xf numFmtId="176" fontId="0" fillId="0" borderId="9" xfId="0" applyNumberFormat="1" applyBorder="1" applyAlignment="1" applyProtection="1">
      <alignment vertical="center" wrapText="1"/>
    </xf>
    <xf numFmtId="0" fontId="0" fillId="0" borderId="1" xfId="0" applyBorder="1" applyAlignment="1" applyProtection="1">
      <alignment vertical="center" wrapText="1"/>
    </xf>
    <xf numFmtId="0" fontId="0" fillId="0" borderId="10" xfId="0" applyBorder="1" applyAlignment="1" applyProtection="1">
      <alignment vertical="center" wrapText="1"/>
    </xf>
    <xf numFmtId="0" fontId="0" fillId="0" borderId="5" xfId="0" applyBorder="1" applyAlignment="1" applyProtection="1">
      <alignment horizontal="center" vertical="center"/>
    </xf>
    <xf numFmtId="176" fontId="0" fillId="0" borderId="11" xfId="0" applyNumberFormat="1" applyBorder="1" applyAlignment="1" applyProtection="1">
      <alignment vertical="center" wrapText="1"/>
    </xf>
    <xf numFmtId="0" fontId="0" fillId="0" borderId="12" xfId="0" applyBorder="1" applyAlignment="1" applyProtection="1">
      <alignment vertical="center" wrapText="1"/>
    </xf>
    <xf numFmtId="0" fontId="0" fillId="0" borderId="13" xfId="0" applyBorder="1" applyAlignment="1" applyProtection="1">
      <alignment vertical="center" wrapText="1"/>
    </xf>
    <xf numFmtId="0" fontId="5" fillId="0" borderId="0" xfId="0" applyFont="1" applyAlignment="1" applyProtection="1"/>
    <xf numFmtId="0" fontId="6" fillId="4" borderId="0" xfId="0" applyFont="1" applyFill="1" applyAlignment="1" applyProtection="1">
      <alignment horizontal="left" vertical="center" indent="1"/>
    </xf>
    <xf numFmtId="0" fontId="0" fillId="5" borderId="2" xfId="0" applyFill="1" applyBorder="1" applyAlignment="1" applyProtection="1"/>
    <xf numFmtId="0" fontId="0" fillId="5" borderId="3" xfId="0" applyFill="1" applyBorder="1" applyAlignment="1" applyProtection="1">
      <alignment horizontal="left" vertical="center"/>
    </xf>
    <xf numFmtId="0" fontId="0" fillId="4" borderId="2" xfId="0" applyFill="1" applyBorder="1" applyAlignment="1" applyProtection="1"/>
    <xf numFmtId="0" fontId="0" fillId="5" borderId="4" xfId="0" applyFill="1" applyBorder="1" applyAlignment="1" applyProtection="1">
      <alignment horizontal="left" vertical="center"/>
    </xf>
    <xf numFmtId="0" fontId="0" fillId="5" borderId="5" xfId="0" applyFill="1" applyBorder="1" applyAlignment="1" applyProtection="1">
      <alignment horizontal="left" vertical="center"/>
    </xf>
  </cellXfs>
  <cellStyles count="2">
    <cellStyle name="ハイパーリンク" xfId="1" builtinId="8"/>
    <cellStyle name="標準" xfId="0" builtinId="0"/>
  </cellStyles>
  <dxfs count="1">
    <dxf>
      <fill>
        <patternFill>
          <bgColor theme="0" tint="-0.24994659260841701"/>
        </patternFill>
      </fill>
    </dxf>
  </dxfs>
  <tableStyles count="0" defaultTableStyle="TableStyleMedium2" defaultPivotStyle="PivotStyleLight16"/>
  <colors>
    <mruColors>
      <color rgb="FFFFF2CC"/>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144517</xdr:colOff>
          <xdr:row>37</xdr:row>
          <xdr:rowOff>52552</xdr:rowOff>
        </xdr:from>
        <xdr:to>
          <xdr:col>3</xdr:col>
          <xdr:colOff>277867</xdr:colOff>
          <xdr:row>52</xdr:row>
          <xdr:rowOff>62077</xdr:rowOff>
        </xdr:to>
        <xdr:pic>
          <xdr:nvPicPr>
            <xdr:cNvPr id="4" name="図 3">
              <a:extLst>
                <a:ext uri="{FF2B5EF4-FFF2-40B4-BE49-F238E27FC236}">
                  <a16:creationId xmlns:a16="http://schemas.microsoft.com/office/drawing/2014/main" id="{7BEF8C44-0C11-3E23-3114-14CD2D585DF3}"/>
                </a:ext>
              </a:extLst>
            </xdr:cNvPr>
            <xdr:cNvPicPr>
              <a:picLocks noChangeAspect="1" noChangeArrowheads="1"/>
              <a:extLst>
                <a:ext uri="{84589F7E-364E-4C9E-8A38-B11213B215E9}">
                  <a14:cameraTool cellRange="$G$34:$I$48" spid="_x0000_s1039"/>
                </a:ext>
              </a:extLst>
            </xdr:cNvPicPr>
          </xdr:nvPicPr>
          <xdr:blipFill>
            <a:blip xmlns:r="http://schemas.openxmlformats.org/officeDocument/2006/relationships" r:embed="rId1"/>
            <a:srcRect/>
            <a:stretch>
              <a:fillRect/>
            </a:stretch>
          </xdr:blipFill>
          <xdr:spPr bwMode="auto">
            <a:xfrm>
              <a:off x="144517" y="7876190"/>
              <a:ext cx="5093247" cy="355676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nta.go.jp/publication/pamph/koho/kurashi/html/03_1.htm" TargetMode="Externa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ta.go.jp/publication/pamph/koho/kurashi/html/03_1.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C238E-A4BE-43A5-9816-B5AF6CB4121F}">
  <sheetPr>
    <pageSetUpPr fitToPage="1"/>
  </sheetPr>
  <dimension ref="A1:O48"/>
  <sheetViews>
    <sheetView tabSelected="1" view="pageBreakPreview" zoomScaleNormal="100" zoomScaleSheetLayoutView="100" workbookViewId="0">
      <selection activeCell="B6" sqref="B6"/>
    </sheetView>
  </sheetViews>
  <sheetFormatPr defaultRowHeight="18.75" x14ac:dyDescent="0.4"/>
  <cols>
    <col min="1" max="1" width="32" style="4" customWidth="1"/>
    <col min="2" max="2" width="22" style="4" customWidth="1"/>
    <col min="3" max="3" width="11.125" style="4" customWidth="1"/>
    <col min="4" max="4" width="27.875" style="4" customWidth="1"/>
    <col min="5" max="5" width="26.5" style="4" customWidth="1"/>
    <col min="6" max="6" width="9" style="4"/>
    <col min="7" max="7" width="15.75" style="17" customWidth="1"/>
    <col min="8" max="8" width="21.375" style="17" customWidth="1"/>
    <col min="9" max="9" width="29.625" style="17" bestFit="1" customWidth="1"/>
    <col min="10" max="15" width="9" style="17"/>
    <col min="16" max="16384" width="9" style="4"/>
  </cols>
  <sheetData>
    <row r="1" spans="1:5" x14ac:dyDescent="0.4">
      <c r="A1" s="4" t="s">
        <v>54</v>
      </c>
    </row>
    <row r="2" spans="1:5" x14ac:dyDescent="0.4">
      <c r="A2" s="4" t="s">
        <v>55</v>
      </c>
    </row>
    <row r="3" spans="1:5" ht="20.25" x14ac:dyDescent="0.4">
      <c r="A3" s="18" t="s">
        <v>25</v>
      </c>
      <c r="B3" s="19"/>
      <c r="C3" s="19"/>
      <c r="D3" s="19"/>
    </row>
    <row r="4" spans="1:5" s="2" customFormat="1" x14ac:dyDescent="0.4">
      <c r="A4" s="5" t="s">
        <v>83</v>
      </c>
      <c r="B4" s="5"/>
    </row>
    <row r="6" spans="1:5" x14ac:dyDescent="0.4">
      <c r="A6" s="20" t="s">
        <v>21</v>
      </c>
      <c r="B6" s="1" t="s">
        <v>30</v>
      </c>
    </row>
    <row r="7" spans="1:5" x14ac:dyDescent="0.4">
      <c r="A7" s="20" t="s">
        <v>28</v>
      </c>
      <c r="B7" s="1">
        <v>1100001</v>
      </c>
    </row>
    <row r="8" spans="1:5" x14ac:dyDescent="0.4">
      <c r="A8" s="20" t="s">
        <v>0</v>
      </c>
      <c r="B8" s="4">
        <f>IF(B6="65歳以上",VLOOKUP(B7,table65歳以上,2,TRUE),VLOOKUP(B7,table65歳未満,2,TRUE))</f>
        <v>12</v>
      </c>
    </row>
    <row r="9" spans="1:5" x14ac:dyDescent="0.4">
      <c r="A9" s="20" t="s">
        <v>1</v>
      </c>
      <c r="B9" s="21">
        <f>ROUNDDOWN(IF(OR($B$8=1,$B$8=11),0,IF($B$8=2,$B$7-600000,IF($B$8=12,$B$7-1100000,IF($B$8=3,$B$7*0.75-275000,IF($B$8=4,$B$7*0.85-685000,IF($B$8=5,$B$7*0.95-1455000,B7-1955000)))))),0)</f>
        <v>1</v>
      </c>
      <c r="C9" s="22"/>
    </row>
    <row r="11" spans="1:5" x14ac:dyDescent="0.4">
      <c r="A11" s="20" t="s">
        <v>2</v>
      </c>
    </row>
    <row r="12" spans="1:5" x14ac:dyDescent="0.4">
      <c r="A12" s="19" t="s">
        <v>3</v>
      </c>
      <c r="B12" s="19"/>
      <c r="C12" s="19"/>
      <c r="D12" s="19"/>
    </row>
    <row r="14" spans="1:5" x14ac:dyDescent="0.4">
      <c r="B14" s="20" t="s">
        <v>4</v>
      </c>
    </row>
    <row r="15" spans="1:5" x14ac:dyDescent="0.4">
      <c r="A15" s="23"/>
      <c r="B15" s="24" t="s">
        <v>5</v>
      </c>
      <c r="C15" s="25" t="s">
        <v>6</v>
      </c>
      <c r="D15" s="25" t="s">
        <v>7</v>
      </c>
      <c r="E15" s="26" t="s">
        <v>8</v>
      </c>
    </row>
    <row r="16" spans="1:5" x14ac:dyDescent="0.4">
      <c r="A16" s="27" t="s">
        <v>26</v>
      </c>
      <c r="B16" s="28">
        <v>0</v>
      </c>
      <c r="C16" s="29">
        <v>1</v>
      </c>
      <c r="D16" s="29" t="s">
        <v>22</v>
      </c>
      <c r="E16" s="30" t="s">
        <v>23</v>
      </c>
    </row>
    <row r="17" spans="1:5" x14ac:dyDescent="0.4">
      <c r="A17" s="31"/>
      <c r="B17" s="32">
        <v>600001</v>
      </c>
      <c r="C17" s="33">
        <v>2</v>
      </c>
      <c r="D17" s="33" t="s">
        <v>24</v>
      </c>
      <c r="E17" s="34" t="s">
        <v>38</v>
      </c>
    </row>
    <row r="18" spans="1:5" x14ac:dyDescent="0.4">
      <c r="A18" s="31"/>
      <c r="B18" s="32">
        <v>1300000</v>
      </c>
      <c r="C18" s="33">
        <v>3</v>
      </c>
      <c r="D18" s="33" t="s">
        <v>12</v>
      </c>
      <c r="E18" s="34" t="s">
        <v>40</v>
      </c>
    </row>
    <row r="19" spans="1:5" x14ac:dyDescent="0.4">
      <c r="A19" s="31"/>
      <c r="B19" s="32">
        <v>4100000</v>
      </c>
      <c r="C19" s="33">
        <v>4</v>
      </c>
      <c r="D19" s="33" t="s">
        <v>13</v>
      </c>
      <c r="E19" s="34" t="s">
        <v>42</v>
      </c>
    </row>
    <row r="20" spans="1:5" x14ac:dyDescent="0.4">
      <c r="A20" s="31"/>
      <c r="B20" s="32">
        <v>7700000</v>
      </c>
      <c r="C20" s="33">
        <v>5</v>
      </c>
      <c r="D20" s="33" t="s">
        <v>14</v>
      </c>
      <c r="E20" s="34" t="s">
        <v>44</v>
      </c>
    </row>
    <row r="21" spans="1:5" x14ac:dyDescent="0.4">
      <c r="A21" s="35"/>
      <c r="B21" s="36">
        <v>10000000</v>
      </c>
      <c r="C21" s="37">
        <v>6</v>
      </c>
      <c r="D21" s="37" t="s">
        <v>15</v>
      </c>
      <c r="E21" s="38" t="s">
        <v>46</v>
      </c>
    </row>
    <row r="22" spans="1:5" x14ac:dyDescent="0.4">
      <c r="A22" s="27" t="s">
        <v>27</v>
      </c>
      <c r="B22" s="28">
        <v>0</v>
      </c>
      <c r="C22" s="29">
        <v>11</v>
      </c>
      <c r="D22" s="29" t="s">
        <v>9</v>
      </c>
      <c r="E22" s="30" t="s">
        <v>10</v>
      </c>
    </row>
    <row r="23" spans="1:5" x14ac:dyDescent="0.4">
      <c r="A23" s="31"/>
      <c r="B23" s="32">
        <v>1100001</v>
      </c>
      <c r="C23" s="33">
        <v>12</v>
      </c>
      <c r="D23" s="33" t="s">
        <v>11</v>
      </c>
      <c r="E23" s="34" t="s">
        <v>49</v>
      </c>
    </row>
    <row r="24" spans="1:5" x14ac:dyDescent="0.4">
      <c r="A24" s="31"/>
      <c r="B24" s="32">
        <v>3300000</v>
      </c>
      <c r="C24" s="33">
        <v>3</v>
      </c>
      <c r="D24" s="33" t="s">
        <v>12</v>
      </c>
      <c r="E24" s="34" t="s">
        <v>51</v>
      </c>
    </row>
    <row r="25" spans="1:5" x14ac:dyDescent="0.4">
      <c r="A25" s="31"/>
      <c r="B25" s="32">
        <v>4100000</v>
      </c>
      <c r="C25" s="33">
        <v>4</v>
      </c>
      <c r="D25" s="33" t="s">
        <v>13</v>
      </c>
      <c r="E25" s="34" t="s">
        <v>42</v>
      </c>
    </row>
    <row r="26" spans="1:5" x14ac:dyDescent="0.4">
      <c r="A26" s="31"/>
      <c r="B26" s="32">
        <v>7700000</v>
      </c>
      <c r="C26" s="33">
        <v>5</v>
      </c>
      <c r="D26" s="33" t="s">
        <v>14</v>
      </c>
      <c r="E26" s="34" t="s">
        <v>44</v>
      </c>
    </row>
    <row r="27" spans="1:5" x14ac:dyDescent="0.4">
      <c r="A27" s="35"/>
      <c r="B27" s="36">
        <v>10000000</v>
      </c>
      <c r="C27" s="37">
        <v>6</v>
      </c>
      <c r="D27" s="37" t="s">
        <v>15</v>
      </c>
      <c r="E27" s="38" t="s">
        <v>46</v>
      </c>
    </row>
    <row r="30" spans="1:5" x14ac:dyDescent="0.4">
      <c r="A30" s="20" t="s">
        <v>16</v>
      </c>
    </row>
    <row r="31" spans="1:5" x14ac:dyDescent="0.4">
      <c r="A31" s="19" t="s">
        <v>17</v>
      </c>
      <c r="B31" s="19"/>
      <c r="C31" s="19"/>
      <c r="D31" s="19"/>
    </row>
    <row r="32" spans="1:5" x14ac:dyDescent="0.4">
      <c r="A32" s="19" t="s">
        <v>18</v>
      </c>
      <c r="B32" s="19"/>
      <c r="C32" s="19"/>
      <c r="D32" s="19"/>
    </row>
    <row r="33" spans="1:9" x14ac:dyDescent="0.4">
      <c r="F33" s="17"/>
    </row>
    <row r="34" spans="1:9" x14ac:dyDescent="0.4">
      <c r="A34" s="39" t="s">
        <v>29</v>
      </c>
      <c r="B34" s="19"/>
      <c r="C34" s="19"/>
      <c r="D34" s="19"/>
      <c r="F34" s="17"/>
      <c r="G34" s="40" t="s">
        <v>31</v>
      </c>
    </row>
    <row r="35" spans="1:9" x14ac:dyDescent="0.4">
      <c r="F35" s="17"/>
    </row>
    <row r="36" spans="1:9" x14ac:dyDescent="0.4">
      <c r="A36" s="2" t="s">
        <v>19</v>
      </c>
      <c r="G36" s="41"/>
      <c r="H36" s="41" t="s">
        <v>32</v>
      </c>
      <c r="I36" s="41" t="s">
        <v>33</v>
      </c>
    </row>
    <row r="37" spans="1:9" x14ac:dyDescent="0.4">
      <c r="A37" s="13" t="s">
        <v>20</v>
      </c>
      <c r="G37" s="42" t="s">
        <v>34</v>
      </c>
      <c r="H37" s="43" t="s">
        <v>36</v>
      </c>
      <c r="I37" s="43" t="s">
        <v>37</v>
      </c>
    </row>
    <row r="38" spans="1:9" x14ac:dyDescent="0.4">
      <c r="G38" s="44"/>
      <c r="H38" s="43" t="s">
        <v>38</v>
      </c>
      <c r="I38" s="43" t="s">
        <v>39</v>
      </c>
    </row>
    <row r="39" spans="1:9" x14ac:dyDescent="0.4">
      <c r="G39" s="44"/>
      <c r="H39" s="43" t="s">
        <v>40</v>
      </c>
      <c r="I39" s="43" t="s">
        <v>41</v>
      </c>
    </row>
    <row r="40" spans="1:9" x14ac:dyDescent="0.4">
      <c r="G40" s="44"/>
      <c r="H40" s="43" t="s">
        <v>42</v>
      </c>
      <c r="I40" s="43" t="s">
        <v>43</v>
      </c>
    </row>
    <row r="41" spans="1:9" x14ac:dyDescent="0.4">
      <c r="G41" s="44"/>
      <c r="H41" s="43" t="s">
        <v>44</v>
      </c>
      <c r="I41" s="43" t="s">
        <v>45</v>
      </c>
    </row>
    <row r="42" spans="1:9" x14ac:dyDescent="0.4">
      <c r="G42" s="45"/>
      <c r="H42" s="43" t="s">
        <v>46</v>
      </c>
      <c r="I42" s="43" t="s">
        <v>47</v>
      </c>
    </row>
    <row r="43" spans="1:9" x14ac:dyDescent="0.4">
      <c r="G43" s="42" t="s">
        <v>35</v>
      </c>
      <c r="H43" s="43" t="s">
        <v>48</v>
      </c>
      <c r="I43" s="43" t="s">
        <v>37</v>
      </c>
    </row>
    <row r="44" spans="1:9" x14ac:dyDescent="0.4">
      <c r="G44" s="44"/>
      <c r="H44" s="43" t="s">
        <v>49</v>
      </c>
      <c r="I44" s="43" t="s">
        <v>50</v>
      </c>
    </row>
    <row r="45" spans="1:9" x14ac:dyDescent="0.4">
      <c r="G45" s="44"/>
      <c r="H45" s="43" t="s">
        <v>51</v>
      </c>
      <c r="I45" s="43" t="s">
        <v>41</v>
      </c>
    </row>
    <row r="46" spans="1:9" x14ac:dyDescent="0.4">
      <c r="G46" s="44"/>
      <c r="H46" s="43" t="s">
        <v>42</v>
      </c>
      <c r="I46" s="43" t="s">
        <v>43</v>
      </c>
    </row>
    <row r="47" spans="1:9" x14ac:dyDescent="0.4">
      <c r="G47" s="44"/>
      <c r="H47" s="43" t="s">
        <v>44</v>
      </c>
      <c r="I47" s="43" t="s">
        <v>45</v>
      </c>
    </row>
    <row r="48" spans="1:9" x14ac:dyDescent="0.4">
      <c r="G48" s="45"/>
      <c r="H48" s="43" t="s">
        <v>46</v>
      </c>
      <c r="I48" s="43" t="s">
        <v>47</v>
      </c>
    </row>
  </sheetData>
  <sheetProtection algorithmName="SHA-512" hashValue="k4TK1c9kAUpXNDuarLCQFKKyVSAk4fdxTv1MB5DUbdviQJU2F1HFL5AzLEuxC7rckFgLcy+qzEK3cAqyaMbSVw==" saltValue="IOEHnAujlSLNSgclMF3GDA==" spinCount="100000" sheet="1" objects="1" scenarios="1"/>
  <mergeCells count="9">
    <mergeCell ref="A3:D3"/>
    <mergeCell ref="A12:D12"/>
    <mergeCell ref="A31:D31"/>
    <mergeCell ref="G43:G48"/>
    <mergeCell ref="G37:G42"/>
    <mergeCell ref="A32:D32"/>
    <mergeCell ref="A34:D34"/>
    <mergeCell ref="A16:A21"/>
    <mergeCell ref="A22:A27"/>
  </mergeCells>
  <phoneticPr fontId="2"/>
  <dataValidations count="1">
    <dataValidation type="list" allowBlank="1" showInputMessage="1" showErrorMessage="1" sqref="B6" xr:uid="{A89A5BEC-3332-4E1E-ABA9-E88657416BAC}">
      <formula1>"65歳未満,65歳以上"</formula1>
    </dataValidation>
  </dataValidations>
  <hyperlinks>
    <hyperlink ref="A37" r:id="rId1" xr:uid="{CC578C3A-EFD4-46D9-853A-81E96413C98E}"/>
  </hyperlinks>
  <pageMargins left="0.7" right="0.7" top="0.75" bottom="0.75" header="0.3" footer="0.3"/>
  <pageSetup paperSize="9" scale="67" orientation="portrait" horizontalDpi="4294967293" verticalDpi="0" r:id="rId2"/>
  <rowBreaks count="1" manualBreakCount="1">
    <brk id="5" max="16383" man="1"/>
  </rowBreaks>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0452-5802-4207-B795-97CB9519D797}">
  <dimension ref="A1:G31"/>
  <sheetViews>
    <sheetView workbookViewId="0">
      <selection activeCell="C14" sqref="C14"/>
    </sheetView>
  </sheetViews>
  <sheetFormatPr defaultRowHeight="18.75" x14ac:dyDescent="0.4"/>
  <cols>
    <col min="1" max="1" width="23.125" style="2" customWidth="1"/>
    <col min="2" max="2" width="11.125" style="2" customWidth="1"/>
    <col min="3" max="3" width="11.75" style="2" bestFit="1" customWidth="1"/>
    <col min="4" max="4" width="10" style="2" bestFit="1" customWidth="1"/>
    <col min="5" max="5" width="11.75" style="2" customWidth="1"/>
    <col min="6" max="6" width="11.125" style="2" customWidth="1"/>
    <col min="7" max="16384" width="9" style="2"/>
  </cols>
  <sheetData>
    <row r="1" spans="1:4" x14ac:dyDescent="0.4">
      <c r="A1" s="2" t="s">
        <v>53</v>
      </c>
    </row>
    <row r="2" spans="1:4" x14ac:dyDescent="0.4">
      <c r="A2" s="2" t="s">
        <v>52</v>
      </c>
    </row>
    <row r="3" spans="1:4" ht="20.25" x14ac:dyDescent="0.4">
      <c r="A3" s="3" t="s">
        <v>56</v>
      </c>
      <c r="B3" s="4"/>
      <c r="C3" s="4"/>
      <c r="D3" s="4"/>
    </row>
    <row r="4" spans="1:4" x14ac:dyDescent="0.4">
      <c r="A4" s="2" t="s">
        <v>57</v>
      </c>
    </row>
    <row r="5" spans="1:4" x14ac:dyDescent="0.4">
      <c r="A5" s="2" t="s">
        <v>58</v>
      </c>
    </row>
    <row r="6" spans="1:4" x14ac:dyDescent="0.4">
      <c r="A6" s="2" t="s">
        <v>59</v>
      </c>
    </row>
    <row r="7" spans="1:4" x14ac:dyDescent="0.4">
      <c r="A7" s="2" t="s">
        <v>60</v>
      </c>
    </row>
    <row r="9" spans="1:4" x14ac:dyDescent="0.4">
      <c r="A9" s="2" t="s">
        <v>61</v>
      </c>
    </row>
    <row r="10" spans="1:4" x14ac:dyDescent="0.4">
      <c r="A10" s="2" t="s">
        <v>62</v>
      </c>
    </row>
    <row r="11" spans="1:4" x14ac:dyDescent="0.4">
      <c r="A11" s="5" t="s">
        <v>83</v>
      </c>
      <c r="B11" s="5"/>
    </row>
    <row r="14" spans="1:4" x14ac:dyDescent="0.4">
      <c r="A14" s="2" t="s">
        <v>72</v>
      </c>
      <c r="C14" s="14">
        <v>1000000</v>
      </c>
      <c r="D14" s="2" t="s">
        <v>68</v>
      </c>
    </row>
    <row r="15" spans="1:4" x14ac:dyDescent="0.4">
      <c r="A15" s="2" t="s">
        <v>73</v>
      </c>
      <c r="C15" s="15">
        <v>10</v>
      </c>
      <c r="D15" s="2" t="s">
        <v>74</v>
      </c>
    </row>
    <row r="16" spans="1:4" x14ac:dyDescent="0.4">
      <c r="A16" s="2" t="s">
        <v>71</v>
      </c>
      <c r="C16" s="6">
        <f>C14*C15</f>
        <v>10000000</v>
      </c>
      <c r="D16" s="2" t="s">
        <v>68</v>
      </c>
    </row>
    <row r="17" spans="1:7" x14ac:dyDescent="0.4">
      <c r="A17" s="2" t="s">
        <v>63</v>
      </c>
      <c r="C17" s="7"/>
    </row>
    <row r="18" spans="1:7" x14ac:dyDescent="0.4">
      <c r="A18" s="15" t="s">
        <v>70</v>
      </c>
      <c r="B18" s="2" t="s">
        <v>67</v>
      </c>
      <c r="C18" s="14">
        <v>8000</v>
      </c>
      <c r="D18" s="2" t="s">
        <v>68</v>
      </c>
      <c r="E18" s="2" t="s">
        <v>69</v>
      </c>
      <c r="F18" s="8">
        <f>IF(A18="月払",C18*12*B19,IF(A18="年払",C18*B19,C18))</f>
        <v>3168000</v>
      </c>
      <c r="G18" s="2" t="s">
        <v>68</v>
      </c>
    </row>
    <row r="19" spans="1:7" x14ac:dyDescent="0.4">
      <c r="A19" s="2" t="s">
        <v>64</v>
      </c>
      <c r="B19" s="9">
        <f>DATEDIF(C20,C21,"y")</f>
        <v>33</v>
      </c>
    </row>
    <row r="20" spans="1:7" x14ac:dyDescent="0.4">
      <c r="B20" s="2" t="s">
        <v>65</v>
      </c>
      <c r="C20" s="16">
        <v>34129</v>
      </c>
    </row>
    <row r="21" spans="1:7" x14ac:dyDescent="0.4">
      <c r="B21" s="2" t="s">
        <v>66</v>
      </c>
      <c r="C21" s="16">
        <v>46546</v>
      </c>
    </row>
    <row r="22" spans="1:7" x14ac:dyDescent="0.4">
      <c r="A22" s="2" t="s">
        <v>78</v>
      </c>
      <c r="B22" s="2" t="s">
        <v>75</v>
      </c>
    </row>
    <row r="23" spans="1:7" x14ac:dyDescent="0.4">
      <c r="A23" s="10" t="s">
        <v>79</v>
      </c>
      <c r="B23" s="6">
        <f>C14</f>
        <v>1000000</v>
      </c>
      <c r="C23" s="2" t="s">
        <v>76</v>
      </c>
      <c r="D23" s="8">
        <f>F18</f>
        <v>3168000</v>
      </c>
      <c r="E23" s="2" t="s">
        <v>77</v>
      </c>
      <c r="F23" s="6">
        <f>C16</f>
        <v>10000000</v>
      </c>
    </row>
    <row r="24" spans="1:7" x14ac:dyDescent="0.4">
      <c r="A24" s="10" t="s">
        <v>79</v>
      </c>
      <c r="B24" s="6">
        <f>C14*(F18/C16)</f>
        <v>316800</v>
      </c>
      <c r="C24" s="2" t="s">
        <v>68</v>
      </c>
    </row>
    <row r="25" spans="1:7" x14ac:dyDescent="0.4">
      <c r="A25" s="11" t="s">
        <v>80</v>
      </c>
      <c r="B25" s="2" t="s">
        <v>81</v>
      </c>
    </row>
    <row r="26" spans="1:7" x14ac:dyDescent="0.4">
      <c r="A26" s="10" t="s">
        <v>79</v>
      </c>
      <c r="B26" s="6">
        <f>C14</f>
        <v>1000000</v>
      </c>
      <c r="C26" s="2" t="s">
        <v>82</v>
      </c>
      <c r="D26" s="6">
        <f>B24</f>
        <v>316800</v>
      </c>
    </row>
    <row r="27" spans="1:7" x14ac:dyDescent="0.4">
      <c r="A27" s="10" t="s">
        <v>79</v>
      </c>
      <c r="B27" s="12">
        <f>C14-D26</f>
        <v>683200</v>
      </c>
      <c r="C27" s="11" t="s">
        <v>68</v>
      </c>
    </row>
    <row r="30" spans="1:7" x14ac:dyDescent="0.4">
      <c r="A30" s="2" t="s">
        <v>19</v>
      </c>
    </row>
    <row r="31" spans="1:7" x14ac:dyDescent="0.4">
      <c r="A31" s="13" t="s">
        <v>20</v>
      </c>
    </row>
  </sheetData>
  <sheetProtection algorithmName="SHA-512" hashValue="m7aIuk7LZP5Ti6047V8BbYMwfkc86ojDytfg42MScVxBJbOXhcGE/OJ8G52PsiXaohaJrnXgvgFEcsJwWTzLeQ==" saltValue="nwpaFEbztg3leSGkiE8lEg==" spinCount="100000" sheet="1" objects="1" scenarios="1"/>
  <phoneticPr fontId="2"/>
  <conditionalFormatting sqref="B19 C20:C21">
    <cfRule type="expression" dxfId="0" priority="1">
      <formula>$A$18="保険料または掛金の総額"</formula>
    </cfRule>
  </conditionalFormatting>
  <dataValidations count="4">
    <dataValidation type="list" allowBlank="1" showInputMessage="1" showErrorMessage="1" sqref="A18" xr:uid="{99753228-6910-47FC-9D53-6558D246FD5E}">
      <formula1>"月払,年払,保険料または掛金の総額"</formula1>
    </dataValidation>
    <dataValidation type="date" allowBlank="1" showInputMessage="1" showErrorMessage="1" sqref="C20:C21" xr:uid="{18BC09BF-9D74-48A6-A80C-12956D894A79}">
      <formula1>1</formula1>
      <formula2>2958465</formula2>
    </dataValidation>
    <dataValidation type="whole" operator="greaterThan" allowBlank="1" showInputMessage="1" showErrorMessage="1" sqref="C18 C15" xr:uid="{47A476B3-12F0-41BC-8808-627E143F33C6}">
      <formula1>0</formula1>
    </dataValidation>
    <dataValidation type="whole" operator="greaterThanOrEqual" allowBlank="1" showInputMessage="1" showErrorMessage="1" sqref="C14" xr:uid="{9B838716-2E88-47D5-81EC-CBAEC34BED5D}">
      <formula1>0</formula1>
    </dataValidation>
  </dataValidations>
  <hyperlinks>
    <hyperlink ref="A31" r:id="rId1" xr:uid="{95C1AADB-82A6-4B9C-BDD0-DC45D84AC9B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公的年金等に係る雑所得</vt:lpstr>
      <vt:lpstr>公的年金等以外の年金に係る雑所得</vt:lpstr>
      <vt:lpstr>公的年金等に係る雑所得!Print_Area</vt:lpstr>
      <vt:lpstr>table65歳以上</vt:lpstr>
      <vt:lpstr>table65歳未満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克彦 福田</dc:creator>
  <cp:lastModifiedBy>克彦 福田</cp:lastModifiedBy>
  <dcterms:created xsi:type="dcterms:W3CDTF">2026-09-23T03:08:52Z</dcterms:created>
  <dcterms:modified xsi:type="dcterms:W3CDTF">2026-09-27T08:25:46Z</dcterms:modified>
</cp:coreProperties>
</file>